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c7cd0333b41c21/Desktop/"/>
    </mc:Choice>
  </mc:AlternateContent>
  <xr:revisionPtr revIDLastSave="0" documentId="8_{71EE9983-9349-4668-B764-378E5F7FFBE7}" xr6:coauthVersionLast="47" xr6:coauthVersionMax="47" xr10:uidLastSave="{00000000-0000-0000-0000-000000000000}"/>
  <bookViews>
    <workbookView xWindow="-108" yWindow="-108" windowWidth="23256" windowHeight="13896" xr2:uid="{63F62806-8BF1-4448-B15A-B41A38DCCF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2" i="1"/>
  <c r="C2" i="1"/>
  <c r="E2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C3" i="1"/>
  <c r="F3" i="1" s="1"/>
  <c r="C4" i="1"/>
  <c r="F4" i="1" s="1"/>
  <c r="C5" i="1"/>
  <c r="E5" i="1" s="1"/>
  <c r="C6" i="1"/>
  <c r="E6" i="1" s="1"/>
  <c r="C7" i="1"/>
  <c r="E7" i="1" s="1"/>
  <c r="C8" i="1"/>
  <c r="E8" i="1" s="1"/>
  <c r="C9" i="1"/>
  <c r="E9" i="1" s="1"/>
  <c r="C10" i="1"/>
  <c r="E10" i="1" s="1"/>
  <c r="C11" i="1"/>
  <c r="E11" i="1" s="1"/>
  <c r="C12" i="1"/>
  <c r="F12" i="1" s="1"/>
  <c r="C13" i="1"/>
  <c r="E13" i="1" s="1"/>
  <c r="C14" i="1"/>
  <c r="E14" i="1" s="1"/>
  <c r="C15" i="1"/>
  <c r="E15" i="1" s="1"/>
  <c r="C16" i="1"/>
  <c r="E16" i="1" s="1"/>
  <c r="C17" i="1"/>
  <c r="E17" i="1" s="1"/>
  <c r="C18" i="1"/>
  <c r="E18" i="1" s="1"/>
  <c r="C19" i="1"/>
  <c r="E19" i="1" s="1"/>
  <c r="C20" i="1"/>
  <c r="E20" i="1" s="1"/>
  <c r="C21" i="1"/>
  <c r="E21" i="1" s="1"/>
  <c r="C22" i="1"/>
  <c r="E22" i="1" s="1"/>
  <c r="C23" i="1"/>
  <c r="E23" i="1" s="1"/>
  <c r="C24" i="1"/>
  <c r="E24" i="1" s="1"/>
  <c r="C25" i="1"/>
  <c r="E25" i="1" s="1"/>
  <c r="C26" i="1"/>
  <c r="E26" i="1" s="1"/>
  <c r="C27" i="1"/>
  <c r="E27" i="1" s="1"/>
  <c r="C28" i="1"/>
  <c r="F28" i="1" s="1"/>
  <c r="C29" i="1"/>
  <c r="E29" i="1" s="1"/>
  <c r="C30" i="1"/>
  <c r="E30" i="1" s="1"/>
  <c r="C31" i="1"/>
  <c r="E31" i="1" s="1"/>
  <c r="C32" i="1"/>
  <c r="F32" i="1" s="1"/>
  <c r="C33" i="1"/>
  <c r="E33" i="1" s="1"/>
  <c r="C34" i="1"/>
  <c r="E34" i="1" s="1"/>
  <c r="C35" i="1"/>
  <c r="E35" i="1" s="1"/>
  <c r="C36" i="1"/>
  <c r="E36" i="1" s="1"/>
  <c r="C37" i="1"/>
  <c r="E37" i="1" s="1"/>
  <c r="C38" i="1"/>
  <c r="E38" i="1" s="1"/>
  <c r="C39" i="1"/>
  <c r="E39" i="1" s="1"/>
  <c r="C40" i="1"/>
  <c r="E40" i="1" s="1"/>
  <c r="C41" i="1"/>
  <c r="E41" i="1" s="1"/>
  <c r="C42" i="1"/>
  <c r="E42" i="1" s="1"/>
  <c r="C43" i="1"/>
  <c r="E43" i="1" s="1"/>
  <c r="C44" i="1"/>
  <c r="F44" i="1" s="1"/>
  <c r="C45" i="1"/>
  <c r="F45" i="1" s="1"/>
  <c r="C46" i="1"/>
  <c r="E46" i="1" s="1"/>
  <c r="C47" i="1"/>
  <c r="E47" i="1" s="1"/>
  <c r="C48" i="1"/>
  <c r="E48" i="1" s="1"/>
  <c r="C49" i="1"/>
  <c r="E49" i="1" s="1"/>
  <c r="C50" i="1"/>
  <c r="E50" i="1" s="1"/>
  <c r="C51" i="1"/>
  <c r="E51" i="1" s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2" i="1"/>
  <c r="E45" i="1" l="1"/>
  <c r="E28" i="1"/>
  <c r="E12" i="1"/>
  <c r="F43" i="1"/>
  <c r="F27" i="1"/>
  <c r="F11" i="1"/>
  <c r="E44" i="1"/>
  <c r="F42" i="1"/>
  <c r="F26" i="1"/>
  <c r="F10" i="1"/>
  <c r="F41" i="1"/>
  <c r="F25" i="1"/>
  <c r="F9" i="1"/>
  <c r="F40" i="1"/>
  <c r="F24" i="1"/>
  <c r="F8" i="1"/>
  <c r="F39" i="1"/>
  <c r="F23" i="1"/>
  <c r="F7" i="1"/>
  <c r="F38" i="1"/>
  <c r="F22" i="1"/>
  <c r="F6" i="1"/>
  <c r="F37" i="1"/>
  <c r="F21" i="1"/>
  <c r="F5" i="1"/>
  <c r="F36" i="1"/>
  <c r="F20" i="1"/>
  <c r="F51" i="1"/>
  <c r="E4" i="1"/>
  <c r="F35" i="1"/>
  <c r="F19" i="1"/>
  <c r="F50" i="1"/>
  <c r="E3" i="1"/>
  <c r="F34" i="1"/>
  <c r="F18" i="1"/>
  <c r="F49" i="1"/>
  <c r="F33" i="1"/>
  <c r="F17" i="1"/>
  <c r="F48" i="1"/>
  <c r="F16" i="1"/>
  <c r="F47" i="1"/>
  <c r="F31" i="1"/>
  <c r="F15" i="1"/>
  <c r="F2" i="1"/>
  <c r="F46" i="1"/>
  <c r="F30" i="1"/>
  <c r="F14" i="1"/>
  <c r="E32" i="1"/>
  <c r="F29" i="1"/>
  <c r="F13" i="1"/>
</calcChain>
</file>

<file path=xl/sharedStrings.xml><?xml version="1.0" encoding="utf-8"?>
<sst xmlns="http://schemas.openxmlformats.org/spreadsheetml/2006/main" count="11" uniqueCount="10">
  <si>
    <t>m</t>
  </si>
  <si>
    <t>n</t>
  </si>
  <si>
    <t># Niveles</t>
  </si>
  <si>
    <t>Tiempo memoria RAM</t>
  </si>
  <si>
    <t>Tiempo de ejecución</t>
  </si>
  <si>
    <t># Datos</t>
  </si>
  <si>
    <t>Capacidad desperdiciada</t>
  </si>
  <si>
    <t>CONCLUSIÓN</t>
  </si>
  <si>
    <t>Los mejores números de grado (m) y altura (h) para guardar 14735917 datos son: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</si>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</sst>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3610A-D9AD-4AEA-A60B-09445CC621D5}">
  <dimension ref="A1:K52"/>
  <sheetViews>
    <sheetView tabSelected="1" topLeftCell="A3" workbookViewId="0">
      <selection activeCell="L10" sqref="L10"/>
    </sheetView>
  </sheetViews>
  <sheetFormatPr baseColWidth="10" defaultColWidth="11.44140625" defaultRowHeight="15.6" x14ac:dyDescent="0.3"/>
  <cols>
    <col min="1" max="2" width="6.33203125" style="2" customWidth="1"/>
    <col min="3" max="3" width="10" style="2" customWidth="1"/>
    <col min="4" max="4" width="23.6640625" style="2" customWidth="1"/>
    <col min="5" max="5" width="21.44140625" style="2" customWidth="1"/>
    <col min="6" max="6" width="25" style="2" customWidth="1"/>
    <col min="7" max="7" width="11.44140625" style="2"/>
    <col min="8" max="8" width="9.6640625" style="2" customWidth="1"/>
    <col min="9" max="9" width="9.88671875" style="2" bestFit="1" customWidth="1"/>
    <col min="10" max="16384" width="11.44140625" style="2"/>
  </cols>
  <sheetData>
    <row r="1" spans="1:11" s="1" customForma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6</v>
      </c>
    </row>
    <row r="2" spans="1:11" x14ac:dyDescent="0.3">
      <c r="A2" s="7">
        <v>2</v>
      </c>
      <c r="B2" s="7">
        <f>A2-1</f>
        <v>1</v>
      </c>
      <c r="C2" s="7">
        <f t="shared" ref="C2:C33" si="0">ROUNDUP(LOG($I$3,A2),0)</f>
        <v>24</v>
      </c>
      <c r="D2" s="7">
        <f>ROUNDUP(LOG(A2,2),0)</f>
        <v>1</v>
      </c>
      <c r="E2" s="7">
        <f>(C2*1000)*D2</f>
        <v>24000</v>
      </c>
      <c r="F2" s="7">
        <f t="shared" ref="F2:F33" si="1">((A2^C2)-1)-$I$3</f>
        <v>2041298</v>
      </c>
    </row>
    <row r="3" spans="1:11" ht="16.2" x14ac:dyDescent="0.3">
      <c r="A3" s="6">
        <v>3</v>
      </c>
      <c r="B3" s="6">
        <f t="shared" ref="B3:B51" si="2">A3-1</f>
        <v>2</v>
      </c>
      <c r="C3" s="6">
        <f t="shared" si="0"/>
        <v>16</v>
      </c>
      <c r="D3" s="6">
        <f t="shared" ref="D3:D51" si="3">ROUNDUP(LOG(A3,2),0)</f>
        <v>2</v>
      </c>
      <c r="E3" s="6">
        <f t="shared" ref="E3:E51" si="4">(C3*1000)*D3</f>
        <v>32000</v>
      </c>
      <c r="F3" s="6">
        <f t="shared" si="1"/>
        <v>28310803</v>
      </c>
      <c r="H3" s="4" t="s">
        <v>5</v>
      </c>
      <c r="I3" s="5">
        <v>14735917</v>
      </c>
    </row>
    <row r="4" spans="1:11" x14ac:dyDescent="0.3">
      <c r="A4" s="7">
        <v>4</v>
      </c>
      <c r="B4" s="7">
        <f t="shared" si="2"/>
        <v>3</v>
      </c>
      <c r="C4" s="7">
        <f t="shared" si="0"/>
        <v>12</v>
      </c>
      <c r="D4" s="7">
        <f t="shared" si="3"/>
        <v>2</v>
      </c>
      <c r="E4" s="7">
        <f t="shared" si="4"/>
        <v>24000</v>
      </c>
      <c r="F4" s="7">
        <f t="shared" si="1"/>
        <v>2041298</v>
      </c>
    </row>
    <row r="5" spans="1:11" x14ac:dyDescent="0.3">
      <c r="A5" s="6">
        <v>5</v>
      </c>
      <c r="B5" s="6">
        <f t="shared" si="2"/>
        <v>4</v>
      </c>
      <c r="C5" s="6">
        <f t="shared" si="0"/>
        <v>11</v>
      </c>
      <c r="D5" s="6">
        <f t="shared" si="3"/>
        <v>3</v>
      </c>
      <c r="E5" s="6">
        <f t="shared" si="4"/>
        <v>33000</v>
      </c>
      <c r="F5" s="6">
        <f t="shared" si="1"/>
        <v>34092207</v>
      </c>
      <c r="H5" s="10" t="s">
        <v>7</v>
      </c>
      <c r="I5" s="10"/>
      <c r="J5" s="9"/>
      <c r="K5" s="9"/>
    </row>
    <row r="6" spans="1:11" x14ac:dyDescent="0.3">
      <c r="A6" s="6">
        <v>6</v>
      </c>
      <c r="B6" s="6">
        <f t="shared" si="2"/>
        <v>5</v>
      </c>
      <c r="C6" s="6">
        <f t="shared" si="0"/>
        <v>10</v>
      </c>
      <c r="D6" s="6">
        <f t="shared" si="3"/>
        <v>3</v>
      </c>
      <c r="E6" s="6">
        <f t="shared" si="4"/>
        <v>30000</v>
      </c>
      <c r="F6" s="6">
        <f t="shared" si="1"/>
        <v>45730258</v>
      </c>
      <c r="H6" s="11" t="s">
        <v>8</v>
      </c>
      <c r="I6" s="11"/>
      <c r="J6" s="11"/>
      <c r="K6" s="11"/>
    </row>
    <row r="7" spans="1:11" x14ac:dyDescent="0.3">
      <c r="A7" s="6">
        <v>7</v>
      </c>
      <c r="B7" s="6">
        <f t="shared" si="2"/>
        <v>6</v>
      </c>
      <c r="C7" s="6">
        <f t="shared" si="0"/>
        <v>9</v>
      </c>
      <c r="D7" s="6">
        <f t="shared" si="3"/>
        <v>3</v>
      </c>
      <c r="E7" s="6">
        <f t="shared" si="4"/>
        <v>27000</v>
      </c>
      <c r="F7" s="6">
        <f t="shared" si="1"/>
        <v>25617689</v>
      </c>
      <c r="H7" s="11"/>
      <c r="I7" s="11"/>
      <c r="J7" s="11"/>
      <c r="K7" s="11"/>
    </row>
    <row r="8" spans="1:11" x14ac:dyDescent="0.3">
      <c r="A8" s="7">
        <v>8</v>
      </c>
      <c r="B8" s="7">
        <f t="shared" si="2"/>
        <v>7</v>
      </c>
      <c r="C8" s="7">
        <f t="shared" si="0"/>
        <v>8</v>
      </c>
      <c r="D8" s="7">
        <f t="shared" si="3"/>
        <v>3</v>
      </c>
      <c r="E8" s="7">
        <f t="shared" si="4"/>
        <v>24000</v>
      </c>
      <c r="F8" s="7">
        <f t="shared" si="1"/>
        <v>2041298</v>
      </c>
    </row>
    <row r="9" spans="1:11" ht="16.2" x14ac:dyDescent="0.3">
      <c r="A9" s="6">
        <v>9</v>
      </c>
      <c r="B9" s="6">
        <f t="shared" si="2"/>
        <v>8</v>
      </c>
      <c r="C9" s="6">
        <f t="shared" si="0"/>
        <v>8</v>
      </c>
      <c r="D9" s="6">
        <f t="shared" si="3"/>
        <v>4</v>
      </c>
      <c r="E9" s="6">
        <f t="shared" si="4"/>
        <v>32000</v>
      </c>
      <c r="F9" s="6">
        <f t="shared" si="1"/>
        <v>28310803</v>
      </c>
      <c r="I9" s="8" t="s">
        <v>0</v>
      </c>
      <c r="J9" s="8" t="s">
        <v>9</v>
      </c>
    </row>
    <row r="10" spans="1:11" ht="16.2" x14ac:dyDescent="0.3">
      <c r="A10" s="6">
        <v>10</v>
      </c>
      <c r="B10" s="6">
        <f t="shared" si="2"/>
        <v>9</v>
      </c>
      <c r="C10" s="6">
        <f t="shared" si="0"/>
        <v>8</v>
      </c>
      <c r="D10" s="6">
        <f t="shared" si="3"/>
        <v>4</v>
      </c>
      <c r="E10" s="6">
        <f t="shared" si="4"/>
        <v>32000</v>
      </c>
      <c r="F10" s="6">
        <f t="shared" si="1"/>
        <v>85264082</v>
      </c>
      <c r="I10" s="8">
        <v>2</v>
      </c>
      <c r="J10" s="8">
        <v>23</v>
      </c>
    </row>
    <row r="11" spans="1:11" ht="16.2" x14ac:dyDescent="0.3">
      <c r="A11" s="6">
        <v>11</v>
      </c>
      <c r="B11" s="6">
        <f t="shared" si="2"/>
        <v>10</v>
      </c>
      <c r="C11" s="6">
        <f t="shared" si="0"/>
        <v>7</v>
      </c>
      <c r="D11" s="6">
        <f t="shared" si="3"/>
        <v>4</v>
      </c>
      <c r="E11" s="6">
        <f t="shared" si="4"/>
        <v>28000</v>
      </c>
      <c r="F11" s="6">
        <f t="shared" si="1"/>
        <v>4751253</v>
      </c>
      <c r="I11" s="8">
        <v>4</v>
      </c>
      <c r="J11" s="8">
        <v>13</v>
      </c>
    </row>
    <row r="12" spans="1:11" ht="16.2" x14ac:dyDescent="0.3">
      <c r="A12" s="6">
        <v>12</v>
      </c>
      <c r="B12" s="6">
        <f t="shared" si="2"/>
        <v>11</v>
      </c>
      <c r="C12" s="6">
        <f t="shared" si="0"/>
        <v>7</v>
      </c>
      <c r="D12" s="6">
        <f t="shared" si="3"/>
        <v>4</v>
      </c>
      <c r="E12" s="6">
        <f t="shared" si="4"/>
        <v>28000</v>
      </c>
      <c r="F12" s="6">
        <f t="shared" si="1"/>
        <v>21095890</v>
      </c>
      <c r="I12" s="8">
        <v>8</v>
      </c>
      <c r="J12" s="8">
        <v>7</v>
      </c>
    </row>
    <row r="13" spans="1:11" ht="16.2" x14ac:dyDescent="0.3">
      <c r="A13" s="6">
        <v>13</v>
      </c>
      <c r="B13" s="6">
        <f t="shared" si="2"/>
        <v>12</v>
      </c>
      <c r="C13" s="6">
        <f t="shared" si="0"/>
        <v>7</v>
      </c>
      <c r="D13" s="6">
        <f t="shared" si="3"/>
        <v>4</v>
      </c>
      <c r="E13" s="6">
        <f t="shared" si="4"/>
        <v>28000</v>
      </c>
      <c r="F13" s="6">
        <f t="shared" si="1"/>
        <v>48012599</v>
      </c>
      <c r="I13" s="8">
        <v>16</v>
      </c>
      <c r="J13" s="8">
        <v>5</v>
      </c>
    </row>
    <row r="14" spans="1:11" x14ac:dyDescent="0.3">
      <c r="A14" s="6">
        <v>14</v>
      </c>
      <c r="B14" s="6">
        <f t="shared" si="2"/>
        <v>13</v>
      </c>
      <c r="C14" s="6">
        <f t="shared" si="0"/>
        <v>7</v>
      </c>
      <c r="D14" s="6">
        <f t="shared" si="3"/>
        <v>4</v>
      </c>
      <c r="E14" s="6">
        <f t="shared" si="4"/>
        <v>28000</v>
      </c>
      <c r="F14" s="6">
        <f t="shared" si="1"/>
        <v>90677586</v>
      </c>
    </row>
    <row r="15" spans="1:11" x14ac:dyDescent="0.3">
      <c r="A15" s="6">
        <v>15</v>
      </c>
      <c r="B15" s="6">
        <f t="shared" si="2"/>
        <v>14</v>
      </c>
      <c r="C15" s="6">
        <f t="shared" si="0"/>
        <v>7</v>
      </c>
      <c r="D15" s="6">
        <f t="shared" si="3"/>
        <v>4</v>
      </c>
      <c r="E15" s="6">
        <f t="shared" si="4"/>
        <v>28000</v>
      </c>
      <c r="F15" s="6">
        <f t="shared" si="1"/>
        <v>156123457</v>
      </c>
    </row>
    <row r="16" spans="1:11" x14ac:dyDescent="0.3">
      <c r="A16" s="7">
        <v>16</v>
      </c>
      <c r="B16" s="7">
        <f t="shared" si="2"/>
        <v>15</v>
      </c>
      <c r="C16" s="7">
        <f t="shared" si="0"/>
        <v>6</v>
      </c>
      <c r="D16" s="7">
        <f t="shared" si="3"/>
        <v>4</v>
      </c>
      <c r="E16" s="7">
        <f t="shared" si="4"/>
        <v>24000</v>
      </c>
      <c r="F16" s="7">
        <f t="shared" si="1"/>
        <v>2041298</v>
      </c>
    </row>
    <row r="17" spans="1:6" x14ac:dyDescent="0.3">
      <c r="A17" s="6">
        <v>17</v>
      </c>
      <c r="B17" s="6">
        <f t="shared" si="2"/>
        <v>16</v>
      </c>
      <c r="C17" s="6">
        <f t="shared" si="0"/>
        <v>6</v>
      </c>
      <c r="D17" s="6">
        <f t="shared" si="3"/>
        <v>5</v>
      </c>
      <c r="E17" s="6">
        <f t="shared" si="4"/>
        <v>30000</v>
      </c>
      <c r="F17" s="6">
        <f t="shared" si="1"/>
        <v>9401651</v>
      </c>
    </row>
    <row r="18" spans="1:6" x14ac:dyDescent="0.3">
      <c r="A18" s="6">
        <v>18</v>
      </c>
      <c r="B18" s="6">
        <f t="shared" si="2"/>
        <v>17</v>
      </c>
      <c r="C18" s="6">
        <f t="shared" si="0"/>
        <v>6</v>
      </c>
      <c r="D18" s="6">
        <f t="shared" si="3"/>
        <v>5</v>
      </c>
      <c r="E18" s="6">
        <f t="shared" si="4"/>
        <v>30000</v>
      </c>
      <c r="F18" s="6">
        <f t="shared" si="1"/>
        <v>19276306</v>
      </c>
    </row>
    <row r="19" spans="1:6" x14ac:dyDescent="0.3">
      <c r="A19" s="6">
        <v>19</v>
      </c>
      <c r="B19" s="6">
        <f t="shared" si="2"/>
        <v>18</v>
      </c>
      <c r="C19" s="6">
        <f t="shared" si="0"/>
        <v>6</v>
      </c>
      <c r="D19" s="6">
        <f t="shared" si="3"/>
        <v>5</v>
      </c>
      <c r="E19" s="6">
        <f t="shared" si="4"/>
        <v>30000</v>
      </c>
      <c r="F19" s="6">
        <f t="shared" si="1"/>
        <v>32309963</v>
      </c>
    </row>
    <row r="20" spans="1:6" x14ac:dyDescent="0.3">
      <c r="A20" s="6">
        <v>20</v>
      </c>
      <c r="B20" s="6">
        <f t="shared" si="2"/>
        <v>19</v>
      </c>
      <c r="C20" s="6">
        <f t="shared" si="0"/>
        <v>6</v>
      </c>
      <c r="D20" s="6">
        <f t="shared" si="3"/>
        <v>5</v>
      </c>
      <c r="E20" s="6">
        <f t="shared" si="4"/>
        <v>30000</v>
      </c>
      <c r="F20" s="6">
        <f t="shared" si="1"/>
        <v>49264082</v>
      </c>
    </row>
    <row r="21" spans="1:6" x14ac:dyDescent="0.3">
      <c r="A21" s="6">
        <v>21</v>
      </c>
      <c r="B21" s="6">
        <f t="shared" si="2"/>
        <v>20</v>
      </c>
      <c r="C21" s="6">
        <f t="shared" si="0"/>
        <v>6</v>
      </c>
      <c r="D21" s="6">
        <f t="shared" si="3"/>
        <v>5</v>
      </c>
      <c r="E21" s="6">
        <f t="shared" si="4"/>
        <v>30000</v>
      </c>
      <c r="F21" s="6">
        <f t="shared" si="1"/>
        <v>71030203</v>
      </c>
    </row>
    <row r="22" spans="1:6" x14ac:dyDescent="0.3">
      <c r="A22" s="6">
        <v>22</v>
      </c>
      <c r="B22" s="6">
        <f t="shared" si="2"/>
        <v>21</v>
      </c>
      <c r="C22" s="6">
        <f t="shared" si="0"/>
        <v>6</v>
      </c>
      <c r="D22" s="6">
        <f t="shared" si="3"/>
        <v>5</v>
      </c>
      <c r="E22" s="6">
        <f t="shared" si="4"/>
        <v>30000</v>
      </c>
      <c r="F22" s="6">
        <f t="shared" si="1"/>
        <v>98643986</v>
      </c>
    </row>
    <row r="23" spans="1:6" x14ac:dyDescent="0.3">
      <c r="A23" s="6">
        <v>23</v>
      </c>
      <c r="B23" s="6">
        <f t="shared" si="2"/>
        <v>22</v>
      </c>
      <c r="C23" s="6">
        <f t="shared" si="0"/>
        <v>6</v>
      </c>
      <c r="D23" s="6">
        <f t="shared" si="3"/>
        <v>5</v>
      </c>
      <c r="E23" s="6">
        <f t="shared" si="4"/>
        <v>30000</v>
      </c>
      <c r="F23" s="6">
        <f t="shared" si="1"/>
        <v>133299971</v>
      </c>
    </row>
    <row r="24" spans="1:6" x14ac:dyDescent="0.3">
      <c r="A24" s="6">
        <v>24</v>
      </c>
      <c r="B24" s="6">
        <f t="shared" si="2"/>
        <v>23</v>
      </c>
      <c r="C24" s="6">
        <f t="shared" si="0"/>
        <v>6</v>
      </c>
      <c r="D24" s="6">
        <f t="shared" si="3"/>
        <v>5</v>
      </c>
      <c r="E24" s="6">
        <f t="shared" si="4"/>
        <v>30000</v>
      </c>
      <c r="F24" s="6">
        <f t="shared" si="1"/>
        <v>176367058</v>
      </c>
    </row>
    <row r="25" spans="1:6" x14ac:dyDescent="0.3">
      <c r="A25" s="6">
        <v>25</v>
      </c>
      <c r="B25" s="6">
        <f t="shared" si="2"/>
        <v>24</v>
      </c>
      <c r="C25" s="6">
        <f t="shared" si="0"/>
        <v>6</v>
      </c>
      <c r="D25" s="6">
        <f t="shared" si="3"/>
        <v>5</v>
      </c>
      <c r="E25" s="6">
        <f t="shared" si="4"/>
        <v>30000</v>
      </c>
      <c r="F25" s="6">
        <f t="shared" si="1"/>
        <v>229404707</v>
      </c>
    </row>
    <row r="26" spans="1:6" x14ac:dyDescent="0.3">
      <c r="A26" s="6">
        <v>26</v>
      </c>
      <c r="B26" s="6">
        <f t="shared" si="2"/>
        <v>25</v>
      </c>
      <c r="C26" s="6">
        <f t="shared" si="0"/>
        <v>6</v>
      </c>
      <c r="D26" s="6">
        <f t="shared" si="3"/>
        <v>5</v>
      </c>
      <c r="E26" s="6">
        <f t="shared" si="4"/>
        <v>30000</v>
      </c>
      <c r="F26" s="6">
        <f t="shared" si="1"/>
        <v>294179858</v>
      </c>
    </row>
    <row r="27" spans="1:6" x14ac:dyDescent="0.3">
      <c r="A27" s="6">
        <v>27</v>
      </c>
      <c r="B27" s="6">
        <f t="shared" si="2"/>
        <v>26</v>
      </c>
      <c r="C27" s="6">
        <f t="shared" si="0"/>
        <v>6</v>
      </c>
      <c r="D27" s="6">
        <f t="shared" si="3"/>
        <v>5</v>
      </c>
      <c r="E27" s="6">
        <f t="shared" si="4"/>
        <v>30000</v>
      </c>
      <c r="F27" s="6">
        <f t="shared" si="1"/>
        <v>372684571</v>
      </c>
    </row>
    <row r="28" spans="1:6" x14ac:dyDescent="0.3">
      <c r="A28" s="6">
        <v>28</v>
      </c>
      <c r="B28" s="6">
        <f t="shared" si="2"/>
        <v>27</v>
      </c>
      <c r="C28" s="6">
        <f t="shared" si="0"/>
        <v>5</v>
      </c>
      <c r="D28" s="6">
        <f t="shared" si="3"/>
        <v>5</v>
      </c>
      <c r="E28" s="6">
        <f t="shared" si="4"/>
        <v>25000</v>
      </c>
      <c r="F28" s="6">
        <f t="shared" si="1"/>
        <v>2474450</v>
      </c>
    </row>
    <row r="29" spans="1:6" x14ac:dyDescent="0.3">
      <c r="A29" s="6">
        <v>29</v>
      </c>
      <c r="B29" s="6">
        <f t="shared" si="2"/>
        <v>28</v>
      </c>
      <c r="C29" s="6">
        <f t="shared" si="0"/>
        <v>5</v>
      </c>
      <c r="D29" s="6">
        <f t="shared" si="3"/>
        <v>5</v>
      </c>
      <c r="E29" s="6">
        <f t="shared" si="4"/>
        <v>25000</v>
      </c>
      <c r="F29" s="6">
        <f t="shared" si="1"/>
        <v>5775231</v>
      </c>
    </row>
    <row r="30" spans="1:6" x14ac:dyDescent="0.3">
      <c r="A30" s="6">
        <v>30</v>
      </c>
      <c r="B30" s="6">
        <f t="shared" si="2"/>
        <v>29</v>
      </c>
      <c r="C30" s="6">
        <f t="shared" si="0"/>
        <v>5</v>
      </c>
      <c r="D30" s="6">
        <f t="shared" si="3"/>
        <v>5</v>
      </c>
      <c r="E30" s="6">
        <f t="shared" si="4"/>
        <v>25000</v>
      </c>
      <c r="F30" s="6">
        <f t="shared" si="1"/>
        <v>9564082</v>
      </c>
    </row>
    <row r="31" spans="1:6" x14ac:dyDescent="0.3">
      <c r="A31" s="6">
        <v>31</v>
      </c>
      <c r="B31" s="6">
        <f t="shared" si="2"/>
        <v>30</v>
      </c>
      <c r="C31" s="6">
        <f t="shared" si="0"/>
        <v>5</v>
      </c>
      <c r="D31" s="6">
        <f t="shared" si="3"/>
        <v>5</v>
      </c>
      <c r="E31" s="6">
        <f t="shared" si="4"/>
        <v>25000</v>
      </c>
      <c r="F31" s="6">
        <f t="shared" si="1"/>
        <v>13893233</v>
      </c>
    </row>
    <row r="32" spans="1:6" x14ac:dyDescent="0.3">
      <c r="A32" s="6">
        <v>32</v>
      </c>
      <c r="B32" s="6">
        <f t="shared" si="2"/>
        <v>31</v>
      </c>
      <c r="C32" s="6">
        <f t="shared" si="0"/>
        <v>5</v>
      </c>
      <c r="D32" s="6">
        <f>ROUNDUP(LOG(A32,2),0)</f>
        <v>5</v>
      </c>
      <c r="E32" s="6">
        <f>(C32*1000)*D32</f>
        <v>25000</v>
      </c>
      <c r="F32" s="6">
        <f t="shared" si="1"/>
        <v>18818514</v>
      </c>
    </row>
    <row r="33" spans="1:6" x14ac:dyDescent="0.3">
      <c r="A33" s="6">
        <v>33</v>
      </c>
      <c r="B33" s="6">
        <f t="shared" si="2"/>
        <v>32</v>
      </c>
      <c r="C33" s="6">
        <f t="shared" si="0"/>
        <v>5</v>
      </c>
      <c r="D33" s="6">
        <f t="shared" si="3"/>
        <v>6</v>
      </c>
      <c r="E33" s="6">
        <f t="shared" si="4"/>
        <v>30000</v>
      </c>
      <c r="F33" s="6">
        <f t="shared" si="1"/>
        <v>24399475</v>
      </c>
    </row>
    <row r="34" spans="1:6" x14ac:dyDescent="0.3">
      <c r="A34" s="6">
        <v>34</v>
      </c>
      <c r="B34" s="6">
        <f t="shared" si="2"/>
        <v>33</v>
      </c>
      <c r="C34" s="6">
        <f t="shared" ref="C34:C51" si="5">ROUNDUP(LOG($I$3,A34),0)</f>
        <v>5</v>
      </c>
      <c r="D34" s="6">
        <f t="shared" si="3"/>
        <v>6</v>
      </c>
      <c r="E34" s="6">
        <f t="shared" si="4"/>
        <v>30000</v>
      </c>
      <c r="F34" s="6">
        <f t="shared" ref="F34:F51" si="6">((A34^C34)-1)-$I$3</f>
        <v>30699506</v>
      </c>
    </row>
    <row r="35" spans="1:6" x14ac:dyDescent="0.3">
      <c r="A35" s="6">
        <v>35</v>
      </c>
      <c r="B35" s="6">
        <f t="shared" si="2"/>
        <v>34</v>
      </c>
      <c r="C35" s="6">
        <f t="shared" si="5"/>
        <v>5</v>
      </c>
      <c r="D35" s="6">
        <f t="shared" si="3"/>
        <v>6</v>
      </c>
      <c r="E35" s="6">
        <f t="shared" si="4"/>
        <v>30000</v>
      </c>
      <c r="F35" s="6">
        <f t="shared" si="6"/>
        <v>37785957</v>
      </c>
    </row>
    <row r="36" spans="1:6" x14ac:dyDescent="0.3">
      <c r="A36" s="6">
        <v>36</v>
      </c>
      <c r="B36" s="6">
        <f t="shared" si="2"/>
        <v>35</v>
      </c>
      <c r="C36" s="6">
        <f t="shared" si="5"/>
        <v>5</v>
      </c>
      <c r="D36" s="6">
        <f t="shared" si="3"/>
        <v>6</v>
      </c>
      <c r="E36" s="6">
        <f t="shared" si="4"/>
        <v>30000</v>
      </c>
      <c r="F36" s="6">
        <f t="shared" si="6"/>
        <v>45730258</v>
      </c>
    </row>
    <row r="37" spans="1:6" x14ac:dyDescent="0.3">
      <c r="A37" s="6">
        <v>37</v>
      </c>
      <c r="B37" s="6">
        <f t="shared" si="2"/>
        <v>36</v>
      </c>
      <c r="C37" s="6">
        <f t="shared" si="5"/>
        <v>5</v>
      </c>
      <c r="D37" s="6">
        <f t="shared" si="3"/>
        <v>6</v>
      </c>
      <c r="E37" s="6">
        <f t="shared" si="4"/>
        <v>30000</v>
      </c>
      <c r="F37" s="6">
        <f t="shared" si="6"/>
        <v>54608039</v>
      </c>
    </row>
    <row r="38" spans="1:6" x14ac:dyDescent="0.3">
      <c r="A38" s="6">
        <v>38</v>
      </c>
      <c r="B38" s="6">
        <f t="shared" si="2"/>
        <v>37</v>
      </c>
      <c r="C38" s="6">
        <f t="shared" si="5"/>
        <v>5</v>
      </c>
      <c r="D38" s="6">
        <f t="shared" si="3"/>
        <v>6</v>
      </c>
      <c r="E38" s="6">
        <f t="shared" si="4"/>
        <v>30000</v>
      </c>
      <c r="F38" s="6">
        <f t="shared" si="6"/>
        <v>64499250</v>
      </c>
    </row>
    <row r="39" spans="1:6" x14ac:dyDescent="0.3">
      <c r="A39" s="6">
        <v>39</v>
      </c>
      <c r="B39" s="6">
        <f t="shared" si="2"/>
        <v>38</v>
      </c>
      <c r="C39" s="6">
        <f t="shared" si="5"/>
        <v>5</v>
      </c>
      <c r="D39" s="6">
        <f t="shared" si="3"/>
        <v>6</v>
      </c>
      <c r="E39" s="6">
        <f t="shared" si="4"/>
        <v>30000</v>
      </c>
      <c r="F39" s="6">
        <f t="shared" si="6"/>
        <v>75488281</v>
      </c>
    </row>
    <row r="40" spans="1:6" x14ac:dyDescent="0.3">
      <c r="A40" s="6">
        <v>40</v>
      </c>
      <c r="B40" s="6">
        <f t="shared" si="2"/>
        <v>39</v>
      </c>
      <c r="C40" s="6">
        <f t="shared" si="5"/>
        <v>5</v>
      </c>
      <c r="D40" s="6">
        <f t="shared" si="3"/>
        <v>6</v>
      </c>
      <c r="E40" s="6">
        <f t="shared" si="4"/>
        <v>30000</v>
      </c>
      <c r="F40" s="6">
        <f t="shared" si="6"/>
        <v>87664082</v>
      </c>
    </row>
    <row r="41" spans="1:6" x14ac:dyDescent="0.3">
      <c r="A41" s="6">
        <v>41</v>
      </c>
      <c r="B41" s="6">
        <f t="shared" si="2"/>
        <v>40</v>
      </c>
      <c r="C41" s="6">
        <f t="shared" si="5"/>
        <v>5</v>
      </c>
      <c r="D41" s="6">
        <f t="shared" si="3"/>
        <v>6</v>
      </c>
      <c r="E41" s="6">
        <f t="shared" si="4"/>
        <v>30000</v>
      </c>
      <c r="F41" s="6">
        <f t="shared" si="6"/>
        <v>101120283</v>
      </c>
    </row>
    <row r="42" spans="1:6" x14ac:dyDescent="0.3">
      <c r="A42" s="6">
        <v>42</v>
      </c>
      <c r="B42" s="6">
        <f t="shared" si="2"/>
        <v>41</v>
      </c>
      <c r="C42" s="6">
        <f t="shared" si="5"/>
        <v>5</v>
      </c>
      <c r="D42" s="6">
        <f t="shared" si="3"/>
        <v>6</v>
      </c>
      <c r="E42" s="6">
        <f t="shared" si="4"/>
        <v>30000</v>
      </c>
      <c r="F42" s="6">
        <f t="shared" si="6"/>
        <v>115955314</v>
      </c>
    </row>
    <row r="43" spans="1:6" x14ac:dyDescent="0.3">
      <c r="A43" s="6">
        <v>43</v>
      </c>
      <c r="B43" s="6">
        <f t="shared" si="2"/>
        <v>42</v>
      </c>
      <c r="C43" s="6">
        <f t="shared" si="5"/>
        <v>5</v>
      </c>
      <c r="D43" s="6">
        <f t="shared" si="3"/>
        <v>6</v>
      </c>
      <c r="E43" s="6">
        <f t="shared" si="4"/>
        <v>30000</v>
      </c>
      <c r="F43" s="6">
        <f t="shared" si="6"/>
        <v>132272525</v>
      </c>
    </row>
    <row r="44" spans="1:6" x14ac:dyDescent="0.3">
      <c r="A44" s="6">
        <v>44</v>
      </c>
      <c r="B44" s="6">
        <f t="shared" si="2"/>
        <v>43</v>
      </c>
      <c r="C44" s="6">
        <f t="shared" si="5"/>
        <v>5</v>
      </c>
      <c r="D44" s="6">
        <f t="shared" si="3"/>
        <v>6</v>
      </c>
      <c r="E44" s="6">
        <f t="shared" si="4"/>
        <v>30000</v>
      </c>
      <c r="F44" s="6">
        <f t="shared" si="6"/>
        <v>150180306</v>
      </c>
    </row>
    <row r="45" spans="1:6" x14ac:dyDescent="0.3">
      <c r="A45" s="6">
        <v>45</v>
      </c>
      <c r="B45" s="6">
        <f t="shared" si="2"/>
        <v>44</v>
      </c>
      <c r="C45" s="6">
        <f t="shared" si="5"/>
        <v>5</v>
      </c>
      <c r="D45" s="6">
        <f t="shared" si="3"/>
        <v>6</v>
      </c>
      <c r="E45" s="6">
        <f t="shared" si="4"/>
        <v>30000</v>
      </c>
      <c r="F45" s="6">
        <f t="shared" si="6"/>
        <v>169792207</v>
      </c>
    </row>
    <row r="46" spans="1:6" x14ac:dyDescent="0.3">
      <c r="A46" s="6">
        <v>46</v>
      </c>
      <c r="B46" s="6">
        <f t="shared" si="2"/>
        <v>45</v>
      </c>
      <c r="C46" s="6">
        <f t="shared" si="5"/>
        <v>5</v>
      </c>
      <c r="D46" s="6">
        <f t="shared" si="3"/>
        <v>6</v>
      </c>
      <c r="E46" s="6">
        <f t="shared" si="4"/>
        <v>30000</v>
      </c>
      <c r="F46" s="6">
        <f t="shared" si="6"/>
        <v>191227058</v>
      </c>
    </row>
    <row r="47" spans="1:6" x14ac:dyDescent="0.3">
      <c r="A47" s="6">
        <v>47</v>
      </c>
      <c r="B47" s="6">
        <f t="shared" si="2"/>
        <v>46</v>
      </c>
      <c r="C47" s="6">
        <f t="shared" si="5"/>
        <v>5</v>
      </c>
      <c r="D47" s="6">
        <f t="shared" si="3"/>
        <v>6</v>
      </c>
      <c r="E47" s="6">
        <f t="shared" si="4"/>
        <v>30000</v>
      </c>
      <c r="F47" s="6">
        <f t="shared" si="6"/>
        <v>214609089</v>
      </c>
    </row>
    <row r="48" spans="1:6" x14ac:dyDescent="0.3">
      <c r="A48" s="6">
        <v>48</v>
      </c>
      <c r="B48" s="6">
        <f t="shared" si="2"/>
        <v>47</v>
      </c>
      <c r="C48" s="6">
        <f t="shared" si="5"/>
        <v>5</v>
      </c>
      <c r="D48" s="6">
        <f t="shared" si="3"/>
        <v>6</v>
      </c>
      <c r="E48" s="6">
        <f t="shared" si="4"/>
        <v>30000</v>
      </c>
      <c r="F48" s="6">
        <f t="shared" si="6"/>
        <v>240068050</v>
      </c>
    </row>
    <row r="49" spans="1:6" x14ac:dyDescent="0.3">
      <c r="A49" s="6">
        <v>49</v>
      </c>
      <c r="B49" s="6">
        <f t="shared" si="2"/>
        <v>48</v>
      </c>
      <c r="C49" s="6">
        <f t="shared" si="5"/>
        <v>5</v>
      </c>
      <c r="D49" s="6">
        <f t="shared" si="3"/>
        <v>6</v>
      </c>
      <c r="E49" s="6">
        <f t="shared" si="4"/>
        <v>30000</v>
      </c>
      <c r="F49" s="6">
        <f t="shared" si="6"/>
        <v>267739331</v>
      </c>
    </row>
    <row r="50" spans="1:6" x14ac:dyDescent="0.3">
      <c r="A50" s="6">
        <v>50</v>
      </c>
      <c r="B50" s="6">
        <f t="shared" si="2"/>
        <v>49</v>
      </c>
      <c r="C50" s="6">
        <f t="shared" si="5"/>
        <v>5</v>
      </c>
      <c r="D50" s="6">
        <f t="shared" si="3"/>
        <v>6</v>
      </c>
      <c r="E50" s="6">
        <f t="shared" si="4"/>
        <v>30000</v>
      </c>
      <c r="F50" s="6">
        <f t="shared" si="6"/>
        <v>297764082</v>
      </c>
    </row>
    <row r="51" spans="1:6" x14ac:dyDescent="0.3">
      <c r="A51" s="6">
        <v>51</v>
      </c>
      <c r="B51" s="6">
        <f t="shared" si="2"/>
        <v>50</v>
      </c>
      <c r="C51" s="6">
        <f t="shared" si="5"/>
        <v>5</v>
      </c>
      <c r="D51" s="6">
        <f t="shared" si="3"/>
        <v>6</v>
      </c>
      <c r="E51" s="6">
        <f t="shared" si="4"/>
        <v>30000</v>
      </c>
      <c r="F51" s="6">
        <f t="shared" si="6"/>
        <v>330289333</v>
      </c>
    </row>
    <row r="52" spans="1:6" x14ac:dyDescent="0.3">
      <c r="C52" s="3"/>
    </row>
  </sheetData>
  <mergeCells count="2">
    <mergeCell ref="H5:I5"/>
    <mergeCell ref="H6:K7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DE170CA110EF47B08EF2AAC7E97EC9" ma:contentTypeVersion="5" ma:contentTypeDescription="Crear nuevo documento." ma:contentTypeScope="" ma:versionID="7708a77248a8e9a994862abc0ee65c29">
  <xsd:schema xmlns:xsd="http://www.w3.org/2001/XMLSchema" xmlns:xs="http://www.w3.org/2001/XMLSchema" xmlns:p="http://schemas.microsoft.com/office/2006/metadata/properties" xmlns:ns3="086b0485-a110-4c43-a306-b8d78ec67f4e" targetNamespace="http://schemas.microsoft.com/office/2006/metadata/properties" ma:root="true" ma:fieldsID="29d0bcc09604a4ad025ca5f4fa00bb44" ns3:_="">
    <xsd:import namespace="086b0485-a110-4c43-a306-b8d78ec67f4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6b0485-a110-4c43-a306-b8d78ec67f4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86b0485-a110-4c43-a306-b8d78ec67f4e" xsi:nil="true"/>
  </documentManagement>
</p:properties>
</file>

<file path=customXml/itemProps1.xml><?xml version="1.0" encoding="utf-8"?>
<ds:datastoreItem xmlns:ds="http://schemas.openxmlformats.org/officeDocument/2006/customXml" ds:itemID="{AB4AED89-7BAD-4ECA-888E-312101EA76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6b0485-a110-4c43-a306-b8d78ec67f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238DC64-4383-420C-A8BE-23016D8210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A697DBF-8E69-4803-897E-9A8A7BC47B64}">
  <ds:schemaRefs>
    <ds:schemaRef ds:uri="086b0485-a110-4c43-a306-b8d78ec67f4e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ADMINISTRACIÓN LICENCIAS LABORATORIOS</dc:creator>
  <cp:lastModifiedBy>Luna A. Sandoval</cp:lastModifiedBy>
  <dcterms:created xsi:type="dcterms:W3CDTF">2026-08-11T16:06:23Z</dcterms:created>
  <dcterms:modified xsi:type="dcterms:W3CDTF">2026-08-13T01:39:44Z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0x01010019DE170CA110EF47B08EF2AAC7E97EC9</vt:lpwstr>
  </property>
</Properties>
</file>